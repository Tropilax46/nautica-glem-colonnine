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mp\Desktop\Geno\Nautica GLEM\Colonnine\"/>
    </mc:Choice>
  </mc:AlternateContent>
  <xr:revisionPtr revIDLastSave="0" documentId="13_ncr:1_{F16E7558-8945-4C5F-B881-599A2AF774FB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BOM colonnina" sheetId="1" r:id="rId1"/>
    <sheet name="Infrastruttura molo" sheetId="2" r:id="rId2"/>
    <sheet name="Riepilogo budget" sheetId="3" r:id="rId3"/>
    <sheet name="Sensitivity" sheetId="4" r:id="rId4"/>
    <sheet name="Note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1" l="1"/>
  <c r="D8" i="4"/>
  <c r="D7" i="4"/>
  <c r="D6" i="4"/>
  <c r="D5" i="4"/>
  <c r="D4" i="4"/>
  <c r="B34" i="3"/>
  <c r="B32" i="3"/>
  <c r="B33" i="3" s="1"/>
  <c r="B35" i="3" s="1"/>
  <c r="B22" i="3"/>
  <c r="E5" i="4" s="1"/>
  <c r="B14" i="3"/>
  <c r="B13" i="3"/>
  <c r="E12" i="2"/>
  <c r="B6" i="3" s="1"/>
  <c r="B12" i="3" s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F20" i="1" l="1"/>
  <c r="B4" i="4" s="1"/>
  <c r="C4" i="4" s="1"/>
  <c r="B6" i="4"/>
  <c r="C6" i="4" s="1"/>
  <c r="F6" i="4" s="1"/>
  <c r="E7" i="4"/>
  <c r="B36" i="3"/>
  <c r="B37" i="3" s="1"/>
  <c r="B38" i="3" s="1"/>
  <c r="E4" i="4"/>
  <c r="B8" i="4"/>
  <c r="C8" i="4" s="1"/>
  <c r="B5" i="4"/>
  <c r="C5" i="4" s="1"/>
  <c r="F5" i="4" s="1"/>
  <c r="E6" i="4"/>
  <c r="B5" i="3"/>
  <c r="B11" i="3" s="1"/>
  <c r="B7" i="4"/>
  <c r="C7" i="4" s="1"/>
  <c r="E8" i="4"/>
  <c r="F4" i="4" l="1"/>
  <c r="B40" i="3"/>
  <c r="B15" i="3"/>
  <c r="B41" i="3" s="1"/>
  <c r="F8" i="4"/>
  <c r="F7" i="4"/>
</calcChain>
</file>

<file path=xl/sharedStrings.xml><?xml version="1.0" encoding="utf-8"?>
<sst xmlns="http://schemas.openxmlformats.org/spreadsheetml/2006/main" count="178" uniqueCount="159">
  <si>
    <t>Bill of Materials - retrofit smart di UNA colonnina (2 prese elettriche + 2 idriche)</t>
  </si>
  <si>
    <t>Idraulica gia' funzionante: in questo BOM solo la parte elettrica smart. Link per quantita' pilota (~5 kit).</t>
  </si>
  <si>
    <t>#</t>
  </si>
  <si>
    <t>Componente</t>
  </si>
  <si>
    <t>Modello consigliato</t>
  </si>
  <si>
    <t>Q.ta'</t>
  </si>
  <si>
    <t>Prezzo unit. (EUR)</t>
  </si>
  <si>
    <t>Totale (EUR)</t>
  </si>
  <si>
    <t>Link acquisto</t>
  </si>
  <si>
    <t>ESP32 WiFi con antenna ESTERNA</t>
  </si>
  <si>
    <t>ESP32-WROOM-32U DevKit DUBEUYEW (kit 3 pz, antenna + pigtail inclusi)</t>
  </si>
  <si>
    <t>Antenna WiFi 2.4 GHz IP67 (upgrade outdoor opzionale)</t>
  </si>
  <si>
    <t>omnidirezionale 7 dBi IP67 SMA, range 700-6000 MHz</t>
  </si>
  <si>
    <t>Amazon</t>
  </si>
  <si>
    <t>Misuratore energia + TA</t>
  </si>
  <si>
    <t>PZEM-004T v3 + TA 100A toroidale split-core</t>
  </si>
  <si>
    <t>Contattore 25A 2NO bobina 12 V DC</t>
  </si>
  <si>
    <t>Finder 22.32.0.012.4320 (2NO, 12 V AC/DC)</t>
  </si>
  <si>
    <t>Driver MOSFET per bobina 12 V (logic-level)</t>
  </si>
  <si>
    <t>IRLZ44N TO-220AB (kit 5 pz) + diodo 1N4007 flyback (R 220Ohm dal kit resistori)</t>
  </si>
  <si>
    <t>Alimentatore AC/DC 12 V (bobine + buck logica)</t>
  </si>
  <si>
    <t>HiLink HLK-10M12 (12 V 10 W, 833 mA) - kit 2 pz - upgrade da HLK-PM12 sottodim.</t>
  </si>
  <si>
    <t>Amazon (kit 2 pz)</t>
  </si>
  <si>
    <t>Buck step-down 12 V -&gt; 5 V per ESP32+PZEM</t>
  </si>
  <si>
    <t>MP1584EN regolabile (kit 6 pz)</t>
  </si>
  <si>
    <t>Amazon (6 pz)</t>
  </si>
  <si>
    <t>LED stato RGB</t>
  </si>
  <si>
    <t>Aihasd WS2812B 12-LED anello</t>
  </si>
  <si>
    <t>Sticker QR custom resistente UV/salino</t>
  </si>
  <si>
    <t>stampa adesivi vinile o alluminio personalizzati</t>
  </si>
  <si>
    <t>VistaPrint</t>
  </si>
  <si>
    <t>Pulsante emergenza fungo NC 22 mm IP66</t>
  </si>
  <si>
    <t>Push button rosso 1NO+1NC IP66 con cassetta</t>
  </si>
  <si>
    <t>Morsettiera + DIN rail + accessori</t>
  </si>
  <si>
    <t>HERKINDNESS kit DIN 35 mm con morsetti UK-2.5B</t>
  </si>
  <si>
    <t>Cavo 2,5 mm2 + fascette + cassetta interna IP66 (294x152x75 mm, dissipazione passiva)</t>
  </si>
  <si>
    <t>Cavo H07V-K 100 m + cassetta Gewiss IP66 grande GW48007</t>
  </si>
  <si>
    <t>Amazon (cassetta)</t>
  </si>
  <si>
    <t>Sensore temperatura DS18B20 waterproof (monitor + auto-protezione firmware)</t>
  </si>
  <si>
    <t>AZDelivery sonda INOX 1 m (kit 2 pz)</t>
  </si>
  <si>
    <t>Kit pressacavi IP68 (per ingressi cavi cassetta IP66)</t>
  </si>
  <si>
    <t>ARPDJK 32 pz misto M12/M16/M20/M25 - 3-15 mm</t>
  </si>
  <si>
    <t>Amazon (kit 32 pz)</t>
  </si>
  <si>
    <t>Kit resistori 1/4 W (4,7 kOhm pull-up DS18B20, 220 Ohm gate MOSFET, scorta)</t>
  </si>
  <si>
    <t>BOJACK assortimento 1000 pz, 25 valori, 5%</t>
  </si>
  <si>
    <t>Amazon (1000 pz)</t>
  </si>
  <si>
    <t>TOTALE materiali per colonnina</t>
  </si>
  <si>
    <t>Note:</t>
  </si>
  <si>
    <t>- Differenziale 30 mA, magnetotermici e cablaggi 230 V sono presenti nelle colonnine esistenti.</t>
  </si>
  <si>
    <t>- Manodopera elettricista non in BOM: gestita separatamente / interna.</t>
  </si>
  <si>
    <t>- L'antenna riga 2 e' un upgrade outdoor IP67. Il kit DUBEUYEW (riga 1) include gia' una antenna 3 dBi + pigtail IPEX-SMA.</t>
  </si>
  <si>
    <t>- ESP32-U + antenna esterna risolvono la schermatura WiFi della cassetta metallica della colonnina.</t>
  </si>
  <si>
    <t>- Contattore con bobina 12 V DC + driver MOSFET = piu' affidabile e con meno componenti del modulo rele' + contattore 230 V AC.</t>
  </si>
  <si>
    <t>- MOSFET IRLZ44N dissipa &lt;1 mW pilotando la bobina (180 mA): NON serve dissipatore.</t>
  </si>
  <si>
    <t>- Sfiato membrana + cassetta 294x152x75 + DS18B20 firmware = gestione termica cassetta sotto sole siciliano.</t>
  </si>
  <si>
    <t>- Alimentatore HLK-10M12 (10W) dimensionato per: 2x bobine contattore (~4,4W) + buck 5V per ESP32+PZEM+LED (~2W) + margine inrush.</t>
  </si>
  <si>
    <t>- Pressacavi obbligatori su tutti gli ingressi cavi della cassetta IP66: senza, l'IP grade reale crolla a IP20.</t>
  </si>
  <si>
    <t>- Resistore 4,7 kOhm tra DATA e VCC del DS18B20: senza pull-up il bus OneWire non funziona.</t>
  </si>
  <si>
    <t>- Per fatturazione kWh certificata MID: sostituire PZEM con Eastron SDM230-MID (+~40 EUR/colonnina).</t>
  </si>
  <si>
    <t>- I link sono ad oggi 14/05/2026: verificare prezzo e disponibilita' prima dell'ordine.</t>
  </si>
  <si>
    <t>Infrastruttura di molo - rete 100% wireless (mesh outdoor)</t>
  </si>
  <si>
    <t>Nessun cablaggio tra access point: copertura mesh WiFi 6, ogni nodo alimentato in 220 V locale.</t>
  </si>
  <si>
    <t>Voce</t>
  </si>
  <si>
    <t>Modello</t>
  </si>
  <si>
    <t>Prezzo (EUR)</t>
  </si>
  <si>
    <t>Router LTE industriale (gateway internet)</t>
  </si>
  <si>
    <t>Teltonika RUT240 EU Standard</t>
  </si>
  <si>
    <t>SIM dati M2M 5 GB/anno</t>
  </si>
  <si>
    <t>Vodafone Business M2M / 1NCE (contratto annuale)</t>
  </si>
  <si>
    <t>Vodafone Business</t>
  </si>
  <si>
    <t>Mesh AP outdoor WiFi 6 AX3000 IP65</t>
  </si>
  <si>
    <t>TP-Link Deco X50-Outdoor</t>
  </si>
  <si>
    <t>Broker MQTT locale + cache offline</t>
  </si>
  <si>
    <t>Raspberry Pi 4 4 GB Starter Kit (case + alim. + SD 64 GB)</t>
  </si>
  <si>
    <t>Cassetta tecnica IP66 grande</t>
  </si>
  <si>
    <t>Gewiss GW48007 294x152x75 mm IP66 con guida DIN</t>
  </si>
  <si>
    <t>UPS 12 V autonomia ~4 h (per router + Pi)</t>
  </si>
  <si>
    <t>Alphaelettronica KUPSM010 mini-UPS 10000 mAh</t>
  </si>
  <si>
    <t>Pali / staffe outdoor per Deco (se servono)</t>
  </si>
  <si>
    <t>supporti palo universali per AP</t>
  </si>
  <si>
    <t>Amazon (ricerca)</t>
  </si>
  <si>
    <t>Subtotale infrastruttura</t>
  </si>
  <si>
    <t>- Deco X50-Outdoor: WiFi 6 AX3000, IP65, range outdoor fino a 70 m; un nodo cablato al router, gli altri in mesh.</t>
  </si>
  <si>
    <t>- Coprire 80 colonnine su un molo di ~150 m richiede tipicamente 2-3 nodi a seconda dell'ostruzione.</t>
  </si>
  <si>
    <t>- Il Raspberry Pi sta nella cassetta tecnica con il router e fa da broker MQTT locale + cache offline.</t>
  </si>
  <si>
    <t>- Tutte le colonnine si collegano al WiFi mesh; non serve cablare un cavo dati a ogni colonnina.</t>
  </si>
  <si>
    <t>- Il piano SIM Vodafone Business M2M e' un esempio: confronta con 1NCE, ThingsMobile o altri provider M2M.</t>
  </si>
  <si>
    <t>Riepilogo budget - Nautica GLEM colonnine smart</t>
  </si>
  <si>
    <t>Parametri (celle blu = modificabili)</t>
  </si>
  <si>
    <t>Numero colonnine</t>
  </si>
  <si>
    <t>Costo materiali per colonnina (EUR)</t>
  </si>
  <si>
    <t>Costo infrastruttura totale (EUR)</t>
  </si>
  <si>
    <t>Sviluppo software (EUR)</t>
  </si>
  <si>
    <t>Setup VPS + dominio + grafica + collaudi (EUR)</t>
  </si>
  <si>
    <t>CAPEX - Investimento iniziale</t>
  </si>
  <si>
    <t>Hardware colonnine (n. unita x prezzo)</t>
  </si>
  <si>
    <t>Infrastruttura di molo</t>
  </si>
  <si>
    <t>Sviluppo software</t>
  </si>
  <si>
    <t>Setup vari</t>
  </si>
  <si>
    <t>TOTALE CAPEX</t>
  </si>
  <si>
    <t>OPEX mensile</t>
  </si>
  <si>
    <t>VPS Hetzner CX31</t>
  </si>
  <si>
    <t>Backup Storage Box</t>
  </si>
  <si>
    <t>SIM dati M2M</t>
  </si>
  <si>
    <t>Manutenzione hardware (forfait)</t>
  </si>
  <si>
    <t>TOTALE OPEX/mese</t>
  </si>
  <si>
    <t>(+) Stripe ~3% sulle ricariche - variabile</t>
  </si>
  <si>
    <t>Ricavi attesi (modello semplice)</t>
  </si>
  <si>
    <t>kWh medi per presa/mese (mix anno)</t>
  </si>
  <si>
    <t>Prese per colonnina</t>
  </si>
  <si>
    <t>Tariffa applicata (EUR/kWh)</t>
  </si>
  <si>
    <t>Costo energia (EUR/kWh)</t>
  </si>
  <si>
    <t>kWh erogati/mese</t>
  </si>
  <si>
    <t>Ricavi lordi/mese</t>
  </si>
  <si>
    <t>Costo energia/mese</t>
  </si>
  <si>
    <t>Margine energia/mese</t>
  </si>
  <si>
    <t>OPEX/mese (da sopra)</t>
  </si>
  <si>
    <t>Utile lordo mensile</t>
  </si>
  <si>
    <t>Utile lordo annuo</t>
  </si>
  <si>
    <t>Payback (mesi) - hardware+infra+setup</t>
  </si>
  <si>
    <t>Payback (mesi) - investimento completo</t>
  </si>
  <si>
    <t>Sensitivity sul numero di colonnine</t>
  </si>
  <si>
    <t>N. colonnine</t>
  </si>
  <si>
    <t>CAPEX hw+infra+setup</t>
  </si>
  <si>
    <t>CAPEX totale (incl. SW)</t>
  </si>
  <si>
    <t>Ricavi mensili lordi</t>
  </si>
  <si>
    <t>Utile mensile</t>
  </si>
  <si>
    <t>Payback completo (mesi)</t>
  </si>
  <si>
    <t>Note, fonti e changelog</t>
  </si>
  <si>
    <t>v2.3 (14/05/2026, correzioni gap di revisione ingegneria):</t>
  </si>
  <si>
    <t xml:space="preserve">  - HLK-PM12 (3W) -&gt; HLK-10M12 (10W): l'alimentatore precedente era sottodimensionato.</t>
  </si>
  <si>
    <t xml:space="preserve">  - Aggiunto kit pressacavi IP68: senza, la cassetta IP66 perde la classificazione.</t>
  </si>
  <si>
    <t xml:space="preserve">  - Aggiunto kit resistori (4,7 kOhm pull-up DS18B20 obbligatoria + 220 Ohm gate MOSFET).</t>
  </si>
  <si>
    <t>v2.2 (14/05/2026, gestione termica):</t>
  </si>
  <si>
    <t xml:space="preserve">  - Aggiunto sfiato a membrana M12 IP69 (RS) per ventilazione passiva contro il caldo siciliano.</t>
  </si>
  <si>
    <t xml:space="preserve">  - Aggiunto sensore temperatura DS18B20 waterproof - monitor cassetta e auto-protezione firmware.</t>
  </si>
  <si>
    <t xml:space="preserve">  - Cassetta interna passata da 196x152 a 294x152 mm per maggior dissipazione passiva.</t>
  </si>
  <si>
    <t xml:space="preserve">  - Conferma: il MOSFET IRLZ44N NON necessita di dissipatore (dissipa &lt;1 mW).</t>
  </si>
  <si>
    <t>v2.1 (link acquisto):</t>
  </si>
  <si>
    <t xml:space="preserve">  - Aggiunta colonna Link acquisto in BOM colonnina e Infrastruttura molo.</t>
  </si>
  <si>
    <t xml:space="preserve">  - Mix Amazon.it + RS Components + VistaPrint + Vodafone Business.</t>
  </si>
  <si>
    <t xml:space="preserve">  - Quantita' link studiate per pilota ~5 kit.</t>
  </si>
  <si>
    <t>v2 (modifiche su feedback Geno):</t>
  </si>
  <si>
    <t xml:space="preserve">  - Eliminati dal BOM: magnetotermico, differenziale, manodopera (gia' presenti / gestiti a parte).</t>
  </si>
  <si>
    <t xml:space="preserve">  - ESP32-WROOM-32U + antenna esterna IP67 per superare la schermatura della cassetta metallica.</t>
  </si>
  <si>
    <t xml:space="preserve">  - Contattore bobina 12 V DC + driver MOSFET (anziche' modulo rele' + contattore 230 V AC).</t>
  </si>
  <si>
    <t xml:space="preserve">  - Infrastruttura: rete 100% wireless mesh (TP-Link Deco X50-Outdoor), nessun switch PoE.</t>
  </si>
  <si>
    <t xml:space="preserve">  - Aggiunto Raspberry Pi 4 nella cassetta tecnica come broker MQTT locale + cache offline.</t>
  </si>
  <si>
    <t>v1:</t>
  </si>
  <si>
    <t xml:space="preserve">  - Prezzi indicativi 2026, IVA esclusa.</t>
  </si>
  <si>
    <t xml:space="preserve">  - Le colonnine erogano gia' 220V monofase e acqua. Il retrofit smart e' solo elettrico.</t>
  </si>
  <si>
    <t xml:space="preserve">  - Per fatturazione kWh certificata MID: sostituire PZEM con Eastron SDM230-MID (+~40 EUR).</t>
  </si>
  <si>
    <t xml:space="preserve">  - Verificare bandi PNRR / Marina 4.0 / Transizione 5.0 prima di acquistare.</t>
  </si>
  <si>
    <t>Convenzioni colori (standard finanziario):</t>
  </si>
  <si>
    <t xml:space="preserve">  - BLU = input modificabile, NERO = formula, sfondo GIALLO = assunzione chiave, link = AZZURRO sottolineato.</t>
  </si>
  <si>
    <t>Aliexpress</t>
  </si>
  <si>
    <t>-</t>
  </si>
  <si>
    <t>- ?</t>
  </si>
  <si>
    <t>Amazon (15 pz)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</si>
</sst>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€ &quot;#,##0.00;&quot;(€ &quot;#,##0.00\);\-"/>
    <numFmt numFmtId="165" formatCode="#,##0;\(#,##0\);\-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0B4F6C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u/>
      <sz val="11"/>
      <color rgb="FF0563C1"/>
      <name val="Arial"/>
      <charset val="1"/>
    </font>
    <font>
      <b/>
      <sz val="11"/>
      <name val="Arial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B4F6C"/>
        <bgColor rgb="FF0563C1"/>
      </patternFill>
    </fill>
    <fill>
      <patternFill patternType="solid">
        <fgColor rgb="FFEAF3F7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4" fontId="4" fillId="0" borderId="0" xfId="0" applyNumberFormat="1" applyFont="1"/>
    <xf numFmtId="0" fontId="6" fillId="0" borderId="0" xfId="0" applyFont="1"/>
    <xf numFmtId="0" fontId="7" fillId="3" borderId="0" xfId="0" applyFont="1" applyFill="1"/>
    <xf numFmtId="164" fontId="7" fillId="3" borderId="0" xfId="0" applyNumberFormat="1" applyFont="1" applyFill="1"/>
    <xf numFmtId="0" fontId="7" fillId="0" borderId="0" xfId="0" applyFont="1"/>
    <xf numFmtId="0" fontId="3" fillId="2" borderId="0" xfId="0" applyFont="1" applyFill="1"/>
    <xf numFmtId="0" fontId="5" fillId="4" borderId="0" xfId="0" applyFont="1" applyFill="1"/>
    <xf numFmtId="164" fontId="0" fillId="0" borderId="0" xfId="0" applyNumberFormat="1"/>
    <xf numFmtId="164" fontId="5" fillId="4" borderId="0" xfId="0" applyNumberFormat="1" applyFont="1" applyFill="1"/>
    <xf numFmtId="165" fontId="0" fillId="0" borderId="0" xfId="0" applyNumberFormat="1"/>
    <xf numFmtId="166" fontId="0" fillId="0" borderId="0" xfId="0" applyNumberFormat="1"/>
    <xf numFmtId="0" fontId="8" fillId="0" borderId="0" xfId="1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3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4F6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istaprint.it/etichette-adesivi/adesivi/adesivi-con-codice-qr" TargetMode="External"/><Relationship Id="rId13" Type="http://schemas.openxmlformats.org/officeDocument/2006/relationships/hyperlink" Target="https://www.amazon.it/BOJACK-valori-assortimento-resistori-carbonio/dp/B08FD1XVL6" TargetMode="External"/><Relationship Id="rId3" Type="http://schemas.openxmlformats.org/officeDocument/2006/relationships/hyperlink" Target="https://it.aliexpress.com/item/1005003125281805.html?src=google&amp;src=google&amp;albch=shopping&amp;acnt=742-864-1166&amp;isdl=y&amp;slnk=&amp;plac=&amp;mtctp=&amp;albbt=Google_7_shopping&amp;aff_platform=google&amp;aff_short_key=UneMJZVf&amp;albagn=888888&amp;ds_e_adid=&amp;ds_e_matchtype=&amp;ds_e_device=c&amp;ds_e_network=x&amp;ds_e_product_group_id=&amp;ds_e_product_id=it1005003125281805&amp;ds_e_product_merchant_id=107851422&amp;ds_e_product_country=IT&amp;ds_e_product_language=it&amp;ds_e_product_channel=online&amp;ds_e_product_store_id=&amp;ds_url_v=2&amp;albcp=22646554006&amp;albag=&amp;isSmbAutoCall=false&amp;needSmbHouyi=false" TargetMode="External"/><Relationship Id="rId7" Type="http://schemas.openxmlformats.org/officeDocument/2006/relationships/hyperlink" Target="https://www.amazon.it/Aihasd-WS2812-Lampada-integrati-WS2812B/dp/B01NBC5CTH" TargetMode="External"/><Relationship Id="rId12" Type="http://schemas.openxmlformats.org/officeDocument/2006/relationships/hyperlink" Target="https://www.amazon.it/Pressacavi-Impermeabili-ARPDJK-Regolabile-Pressacavo/dp/B07XF88KP9" TargetMode="External"/><Relationship Id="rId2" Type="http://schemas.openxmlformats.org/officeDocument/2006/relationships/hyperlink" Target="https://it.aliexpress.com/item/1005009489162080.html?src=google&amp;src=google&amp;albch=shopping&amp;acnt=179-224-6891&amp;isdl=y&amp;slnk=&amp;plac=&amp;mtctp=&amp;albbt=Google_7_shopping&amp;aff_platform=google&amp;aff_short_key=_oFgTQeV&amp;albagn=888888&amp;ds_e_adid=&amp;ds_e_matchtype=&amp;ds_e_device=c&amp;ds_e_network=x&amp;ds_e_product_group_id=&amp;ds_e_product_id=it1005009489162080&amp;ds_e_product_merchant_id=554235887&amp;ds_e_product_country=IT&amp;ds_e_product_language=it&amp;ds_e_product_channel=online&amp;ds_e_product_store_id=&amp;ds_url_v=2&amp;albcp=23158794929&amp;albag=&amp;isSmbAutoCall=false&amp;needSmbHouyi=false" TargetMode="External"/><Relationship Id="rId1" Type="http://schemas.openxmlformats.org/officeDocument/2006/relationships/hyperlink" Target="https://it.aliexpress.com/item/1005006824248148.html?spm=a2g0o.tesla.0.0.15afiSbjiSbjHf&amp;pvid=b762a707-f276-482e-8294-165357a5b2b5&amp;afTraceInfo=1005006824248148__pc__c_ppc_item_bridge_pc_related_wf__So9M1qy__1779110593345&amp;gatewayAdapt=glo2ita" TargetMode="External"/><Relationship Id="rId6" Type="http://schemas.openxmlformats.org/officeDocument/2006/relationships/hyperlink" Target="https://www.amazon.it/MP1584EN-regolabile-step-down-alimentazione-converter/dp/B072BMBNG1" TargetMode="External"/><Relationship Id="rId11" Type="http://schemas.openxmlformats.org/officeDocument/2006/relationships/hyperlink" Target="https://www.amazon.it/Gewiss-derivazione-connessione-Dimensioni-294x152x75/dp/B07XLTN8WH" TargetMode="External"/><Relationship Id="rId5" Type="http://schemas.openxmlformats.org/officeDocument/2006/relationships/hyperlink" Target="https://www.amazon.it/HI-LINK-HLK-10M12-alimentazione-interruttore-intelligente/dp/B07VM99LYC" TargetMode="External"/><Relationship Id="rId15" Type="http://schemas.openxmlformats.org/officeDocument/2006/relationships/hyperlink" Target="https://www.amazon.it/Finder-22-Contatore-Selector-Indicatore/dp/B004B9LI98?source=ps-sl-shoppingads-lpcontext&amp;ref_=fplfs&amp;psc=1&amp;smid=A1MOIP8FPDRRJH" TargetMode="External"/><Relationship Id="rId10" Type="http://schemas.openxmlformats.org/officeDocument/2006/relationships/hyperlink" Target="https://www.amazon.it/Elettrici-Morsettiera-Elettrica-Distribuzione-Universale/dp/B07Y7BCRST" TargetMode="External"/><Relationship Id="rId4" Type="http://schemas.openxmlformats.org/officeDocument/2006/relationships/hyperlink" Target="https://www.amazon.it/Transistor-elettronici-controllo-raddrizzatore-interruttore/dp/B0GRGRQGP5/ref=asc_df_B0GRGRQGP5?mcid=d4099d8d17f0394dafcd69abe2aa8ff2&amp;hvadid=806040659432&amp;hvpos=&amp;hvnetw=g&amp;hvrand=1520205381245531652&amp;hvpone=&amp;hvptwo=&amp;hvqmt=&amp;hvdev=c&amp;hvdvcmdl=&amp;hvlocint=&amp;hvlocphy=9216112&amp;hvtargid=pla-2479039772288&amp;psc=1&amp;hvocijid=1520205381245531652-B0GRGRQGP5-&amp;hvexpln=0" TargetMode="External"/><Relationship Id="rId9" Type="http://schemas.openxmlformats.org/officeDocument/2006/relationships/hyperlink" Target="https://www.amazon.it/Interruttore-Momentaneo-Resistente-Impermeabile-Interruttori/dp/B082Q2C4RB" TargetMode="External"/><Relationship Id="rId14" Type="http://schemas.openxmlformats.org/officeDocument/2006/relationships/hyperlink" Target="https://www.aliexpress.com/p/tesla-landing/index.html?scenario=c_ppc_item_bridge&amp;productId=1005007068104406&amp;_immersiveMode=true&amp;withMainCard=true&amp;src=google-language&amp;aff_platform=true&amp;isdl=y&amp;src=google&amp;albch=shopping&amp;acnt=179-224-6891&amp;isdl=y&amp;slnk=&amp;plac=&amp;mtctp=&amp;albbt=Google_7_shopping&amp;aff_platform=google&amp;aff_short_key=_oFgTQeV&amp;albagn=888888&amp;ds_e_adid=&amp;ds_e_matchtype=&amp;ds_e_device=c&amp;ds_e_network=x&amp;ds_e_product_group_id=&amp;ds_e_product_id=en1005007068104406&amp;ds_e_product_merchant_id=5332245236&amp;ds_e_product_country=ZZ&amp;ds_e_product_language=en&amp;ds_e_product_channel=online&amp;ds_e_product_store_id=&amp;ds_url_v=2&amp;albcp=23121296300&amp;albag=&amp;isSmbAutoCall=false&amp;needSmbHouyi=fals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t/TP-Link-Deco-X50-Outdoor-AX3000Mbps-Alimentazione/dp/B0BVKZDF98" TargetMode="External"/><Relationship Id="rId7" Type="http://schemas.openxmlformats.org/officeDocument/2006/relationships/hyperlink" Target="https://www.amazon.it/s?k=supporto+palo+access+point+outdoor" TargetMode="External"/><Relationship Id="rId2" Type="http://schemas.openxmlformats.org/officeDocument/2006/relationships/hyperlink" Target="https://www.vodafone.it/business/iot/m2m.html" TargetMode="External"/><Relationship Id="rId1" Type="http://schemas.openxmlformats.org/officeDocument/2006/relationships/hyperlink" Target="https://www.amazon.it/Teltonika-RUT240-Standard-Package-Ethernet/dp/B07P8S7LJ9" TargetMode="External"/><Relationship Id="rId6" Type="http://schemas.openxmlformats.org/officeDocument/2006/relationships/hyperlink" Target="https://www.amazon.it/Alphaelettronica-KUPSM010-continuit&#224;-batteria-telecamere/dp/B0C29FYSV5" TargetMode="External"/><Relationship Id="rId5" Type="http://schemas.openxmlformats.org/officeDocument/2006/relationships/hyperlink" Target="https://www.amazon.it/Gewiss-derivazione-connessione-Dimensioni-294x152x75/dp/B07XLTN8WH" TargetMode="External"/><Relationship Id="rId4" Type="http://schemas.openxmlformats.org/officeDocument/2006/relationships/hyperlink" Target="https://www.amazon.it/Raspberry-Starter-Alimentatore-Alloggiamento-dissipatore/dp/B0D1N3V2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Normal="100" workbookViewId="0">
      <pane ySplit="4" topLeftCell="A5" activePane="bottomLeft" state="frozen"/>
      <selection pane="bottomLeft" activeCell="H35" sqref="H35"/>
    </sheetView>
  </sheetViews>
  <sheetFormatPr defaultColWidth="8.6640625" defaultRowHeight="14.4" x14ac:dyDescent="0.3"/>
  <cols>
    <col min="1" max="1" width="4" customWidth="1"/>
    <col min="2" max="2" width="50" customWidth="1"/>
    <col min="3" max="3" width="42" customWidth="1"/>
    <col min="4" max="4" width="8" customWidth="1"/>
    <col min="5" max="6" width="14" customWidth="1"/>
    <col min="7" max="7" width="24" customWidth="1"/>
  </cols>
  <sheetData>
    <row r="1" spans="1:8" ht="17.399999999999999" x14ac:dyDescent="0.3">
      <c r="A1" s="20" t="s">
        <v>0</v>
      </c>
      <c r="B1" s="20"/>
      <c r="C1" s="20"/>
      <c r="D1" s="20"/>
      <c r="E1" s="20"/>
      <c r="F1" s="20"/>
      <c r="G1" s="20"/>
    </row>
    <row r="2" spans="1:8" x14ac:dyDescent="0.3">
      <c r="A2" s="21" t="s">
        <v>1</v>
      </c>
      <c r="B2" s="21"/>
      <c r="C2" s="21"/>
      <c r="D2" s="21"/>
      <c r="E2" s="21"/>
      <c r="F2" s="21"/>
      <c r="G2" s="21"/>
    </row>
    <row r="4" spans="1:8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8" x14ac:dyDescent="0.3">
      <c r="A5" s="4">
        <v>1</v>
      </c>
      <c r="B5" s="4" t="s">
        <v>9</v>
      </c>
      <c r="C5" s="4" t="s">
        <v>10</v>
      </c>
      <c r="D5" s="5">
        <v>1</v>
      </c>
      <c r="E5" s="6">
        <v>7.69</v>
      </c>
      <c r="F5" s="7">
        <f t="shared" ref="F5:F19" si="0">D5*E5</f>
        <v>7.69</v>
      </c>
      <c r="G5" s="18" t="s">
        <v>155</v>
      </c>
      <c r="H5" t="s">
        <v>156</v>
      </c>
    </row>
    <row r="6" spans="1:8" x14ac:dyDescent="0.3">
      <c r="A6" s="4">
        <v>2</v>
      </c>
      <c r="B6" s="4" t="s">
        <v>11</v>
      </c>
      <c r="C6" s="4" t="s">
        <v>12</v>
      </c>
      <c r="D6" s="5">
        <v>1</v>
      </c>
      <c r="E6" s="6">
        <v>11.49</v>
      </c>
      <c r="F6" s="7">
        <f>D6*E6</f>
        <v>11.49</v>
      </c>
      <c r="G6" s="18" t="s">
        <v>155</v>
      </c>
      <c r="H6" t="s">
        <v>156</v>
      </c>
    </row>
    <row r="7" spans="1:8" x14ac:dyDescent="0.3">
      <c r="A7" s="4">
        <v>3</v>
      </c>
      <c r="B7" s="4" t="s">
        <v>14</v>
      </c>
      <c r="C7" s="4" t="s">
        <v>15</v>
      </c>
      <c r="D7" s="5">
        <v>2</v>
      </c>
      <c r="E7" s="6">
        <v>10</v>
      </c>
      <c r="F7" s="7">
        <f t="shared" si="0"/>
        <v>20</v>
      </c>
      <c r="G7" s="18" t="s">
        <v>155</v>
      </c>
      <c r="H7" t="s">
        <v>156</v>
      </c>
    </row>
    <row r="8" spans="1:8" x14ac:dyDescent="0.3">
      <c r="A8" s="4">
        <v>4</v>
      </c>
      <c r="B8" s="4" t="s">
        <v>16</v>
      </c>
      <c r="C8" s="4" t="s">
        <v>17</v>
      </c>
      <c r="D8" s="5">
        <v>2</v>
      </c>
      <c r="E8" s="6">
        <v>20</v>
      </c>
      <c r="F8" s="7">
        <f t="shared" si="0"/>
        <v>40</v>
      </c>
      <c r="G8" s="18" t="s">
        <v>13</v>
      </c>
      <c r="H8" s="19" t="s">
        <v>157</v>
      </c>
    </row>
    <row r="9" spans="1:8" x14ac:dyDescent="0.3">
      <c r="A9" s="4">
        <v>5</v>
      </c>
      <c r="B9" s="4" t="s">
        <v>18</v>
      </c>
      <c r="C9" s="4" t="s">
        <v>19</v>
      </c>
      <c r="D9" s="5">
        <v>2</v>
      </c>
      <c r="E9" s="6">
        <v>2</v>
      </c>
      <c r="F9" s="7">
        <f t="shared" si="0"/>
        <v>4</v>
      </c>
      <c r="G9" s="18" t="s">
        <v>158</v>
      </c>
      <c r="H9" t="s">
        <v>156</v>
      </c>
    </row>
    <row r="10" spans="1:8" x14ac:dyDescent="0.3">
      <c r="A10" s="4">
        <v>6</v>
      </c>
      <c r="B10" s="4" t="s">
        <v>20</v>
      </c>
      <c r="C10" s="4" t="s">
        <v>21</v>
      </c>
      <c r="D10" s="5">
        <v>1</v>
      </c>
      <c r="E10" s="6">
        <v>11</v>
      </c>
      <c r="F10" s="7">
        <f t="shared" si="0"/>
        <v>11</v>
      </c>
      <c r="G10" s="8" t="s">
        <v>22</v>
      </c>
    </row>
    <row r="11" spans="1:8" x14ac:dyDescent="0.3">
      <c r="A11" s="4">
        <v>7</v>
      </c>
      <c r="B11" s="4" t="s">
        <v>23</v>
      </c>
      <c r="C11" s="4" t="s">
        <v>24</v>
      </c>
      <c r="D11" s="5">
        <v>1</v>
      </c>
      <c r="E11" s="6">
        <v>2</v>
      </c>
      <c r="F11" s="7">
        <f t="shared" si="0"/>
        <v>2</v>
      </c>
      <c r="G11" s="8" t="s">
        <v>25</v>
      </c>
    </row>
    <row r="12" spans="1:8" x14ac:dyDescent="0.3">
      <c r="A12" s="4">
        <v>8</v>
      </c>
      <c r="B12" s="4" t="s">
        <v>26</v>
      </c>
      <c r="C12" s="4" t="s">
        <v>27</v>
      </c>
      <c r="D12" s="5">
        <v>1</v>
      </c>
      <c r="E12" s="6">
        <v>2</v>
      </c>
      <c r="F12" s="7">
        <f t="shared" si="0"/>
        <v>2</v>
      </c>
      <c r="G12" s="8" t="s">
        <v>13</v>
      </c>
    </row>
    <row r="13" spans="1:8" x14ac:dyDescent="0.3">
      <c r="A13" s="4">
        <v>9</v>
      </c>
      <c r="B13" s="4" t="s">
        <v>28</v>
      </c>
      <c r="C13" s="4" t="s">
        <v>29</v>
      </c>
      <c r="D13" s="5">
        <v>2</v>
      </c>
      <c r="E13" s="6">
        <v>1</v>
      </c>
      <c r="F13" s="7">
        <f t="shared" si="0"/>
        <v>2</v>
      </c>
      <c r="G13" s="8" t="s">
        <v>30</v>
      </c>
    </row>
    <row r="14" spans="1:8" x14ac:dyDescent="0.3">
      <c r="A14" s="4">
        <v>10</v>
      </c>
      <c r="B14" s="4" t="s">
        <v>31</v>
      </c>
      <c r="C14" s="4" t="s">
        <v>32</v>
      </c>
      <c r="D14" s="5">
        <v>1</v>
      </c>
      <c r="E14" s="6">
        <v>8</v>
      </c>
      <c r="F14" s="7">
        <f t="shared" si="0"/>
        <v>8</v>
      </c>
      <c r="G14" s="8" t="s">
        <v>13</v>
      </c>
    </row>
    <row r="15" spans="1:8" x14ac:dyDescent="0.3">
      <c r="A15" s="4">
        <v>11</v>
      </c>
      <c r="B15" s="4" t="s">
        <v>33</v>
      </c>
      <c r="C15" s="4" t="s">
        <v>34</v>
      </c>
      <c r="D15" s="5">
        <v>1</v>
      </c>
      <c r="E15" s="6">
        <v>8</v>
      </c>
      <c r="F15" s="7">
        <f t="shared" si="0"/>
        <v>8</v>
      </c>
      <c r="G15" s="8" t="s">
        <v>13</v>
      </c>
    </row>
    <row r="16" spans="1:8" x14ac:dyDescent="0.3">
      <c r="A16" s="4">
        <v>12</v>
      </c>
      <c r="B16" s="4" t="s">
        <v>35</v>
      </c>
      <c r="C16" s="4" t="s">
        <v>36</v>
      </c>
      <c r="D16" s="5">
        <v>1</v>
      </c>
      <c r="E16" s="6">
        <v>12</v>
      </c>
      <c r="F16" s="7">
        <f t="shared" si="0"/>
        <v>12</v>
      </c>
      <c r="G16" s="8" t="s">
        <v>37</v>
      </c>
    </row>
    <row r="17" spans="1:8" x14ac:dyDescent="0.3">
      <c r="A17" s="4">
        <v>14</v>
      </c>
      <c r="B17" s="4" t="s">
        <v>38</v>
      </c>
      <c r="C17" s="4" t="s">
        <v>39</v>
      </c>
      <c r="D17" s="5">
        <v>1</v>
      </c>
      <c r="E17" s="6">
        <v>3</v>
      </c>
      <c r="F17" s="7">
        <f t="shared" si="0"/>
        <v>3</v>
      </c>
      <c r="G17" s="18" t="s">
        <v>155</v>
      </c>
      <c r="H17" t="s">
        <v>156</v>
      </c>
    </row>
    <row r="18" spans="1:8" x14ac:dyDescent="0.3">
      <c r="A18" s="4">
        <v>15</v>
      </c>
      <c r="B18" s="4" t="s">
        <v>40</v>
      </c>
      <c r="C18" s="4" t="s">
        <v>41</v>
      </c>
      <c r="D18" s="5">
        <v>1</v>
      </c>
      <c r="E18" s="6">
        <v>10</v>
      </c>
      <c r="F18" s="7">
        <f t="shared" si="0"/>
        <v>10</v>
      </c>
      <c r="G18" s="8" t="s">
        <v>42</v>
      </c>
    </row>
    <row r="19" spans="1:8" x14ac:dyDescent="0.3">
      <c r="A19" s="4">
        <v>16</v>
      </c>
      <c r="B19" s="4" t="s">
        <v>43</v>
      </c>
      <c r="C19" s="4" t="s">
        <v>44</v>
      </c>
      <c r="D19" s="5">
        <v>1</v>
      </c>
      <c r="E19" s="6">
        <v>9</v>
      </c>
      <c r="F19" s="7">
        <f t="shared" si="0"/>
        <v>9</v>
      </c>
      <c r="G19" s="8" t="s">
        <v>45</v>
      </c>
    </row>
    <row r="20" spans="1:8" x14ac:dyDescent="0.3">
      <c r="B20" s="9" t="s">
        <v>46</v>
      </c>
      <c r="F20" s="10">
        <f>SUM(F5:F19)</f>
        <v>150.18</v>
      </c>
    </row>
    <row r="22" spans="1:8" x14ac:dyDescent="0.3">
      <c r="A22" s="11" t="s">
        <v>47</v>
      </c>
    </row>
    <row r="23" spans="1:8" x14ac:dyDescent="0.3">
      <c r="B23" s="21" t="s">
        <v>48</v>
      </c>
      <c r="C23" s="21"/>
      <c r="D23" s="21"/>
      <c r="E23" s="21"/>
      <c r="F23" s="21"/>
      <c r="G23" s="21"/>
    </row>
    <row r="24" spans="1:8" x14ac:dyDescent="0.3">
      <c r="B24" s="21" t="s">
        <v>49</v>
      </c>
      <c r="C24" s="21"/>
      <c r="D24" s="21"/>
      <c r="E24" s="21"/>
      <c r="F24" s="21"/>
      <c r="G24" s="21"/>
    </row>
    <row r="25" spans="1:8" x14ac:dyDescent="0.3">
      <c r="B25" s="21" t="s">
        <v>50</v>
      </c>
      <c r="C25" s="21"/>
      <c r="D25" s="21"/>
      <c r="E25" s="21"/>
      <c r="F25" s="21"/>
      <c r="G25" s="21"/>
    </row>
    <row r="26" spans="1:8" x14ac:dyDescent="0.3">
      <c r="B26" s="21" t="s">
        <v>51</v>
      </c>
      <c r="C26" s="21"/>
      <c r="D26" s="21"/>
      <c r="E26" s="21"/>
      <c r="F26" s="21"/>
      <c r="G26" s="21"/>
    </row>
    <row r="27" spans="1:8" x14ac:dyDescent="0.3">
      <c r="B27" s="21" t="s">
        <v>52</v>
      </c>
      <c r="C27" s="21"/>
      <c r="D27" s="21"/>
      <c r="E27" s="21"/>
      <c r="F27" s="21"/>
      <c r="G27" s="21"/>
    </row>
    <row r="28" spans="1:8" x14ac:dyDescent="0.3">
      <c r="B28" s="21" t="s">
        <v>53</v>
      </c>
      <c r="C28" s="21"/>
      <c r="D28" s="21"/>
      <c r="E28" s="21"/>
      <c r="F28" s="21"/>
      <c r="G28" s="21"/>
    </row>
    <row r="29" spans="1:8" x14ac:dyDescent="0.3">
      <c r="B29" s="21" t="s">
        <v>54</v>
      </c>
      <c r="C29" s="21"/>
      <c r="D29" s="21"/>
      <c r="E29" s="21"/>
      <c r="F29" s="21"/>
      <c r="G29" s="21"/>
    </row>
    <row r="30" spans="1:8" x14ac:dyDescent="0.3">
      <c r="B30" s="21" t="s">
        <v>55</v>
      </c>
      <c r="C30" s="21"/>
      <c r="D30" s="21"/>
      <c r="E30" s="21"/>
      <c r="F30" s="21"/>
      <c r="G30" s="21"/>
    </row>
    <row r="31" spans="1:8" x14ac:dyDescent="0.3">
      <c r="B31" s="21" t="s">
        <v>56</v>
      </c>
      <c r="C31" s="21"/>
      <c r="D31" s="21"/>
      <c r="E31" s="21"/>
      <c r="F31" s="21"/>
      <c r="G31" s="21"/>
    </row>
    <row r="32" spans="1:8" x14ac:dyDescent="0.3">
      <c r="B32" s="21" t="s">
        <v>57</v>
      </c>
      <c r="C32" s="21"/>
      <c r="D32" s="21"/>
      <c r="E32" s="21"/>
      <c r="F32" s="21"/>
      <c r="G32" s="21"/>
    </row>
    <row r="33" spans="2:7" x14ac:dyDescent="0.3">
      <c r="B33" s="21" t="s">
        <v>58</v>
      </c>
      <c r="C33" s="21"/>
      <c r="D33" s="21"/>
      <c r="E33" s="21"/>
      <c r="F33" s="21"/>
      <c r="G33" s="21"/>
    </row>
    <row r="34" spans="2:7" x14ac:dyDescent="0.3">
      <c r="B34" s="21" t="s">
        <v>59</v>
      </c>
      <c r="C34" s="21"/>
      <c r="D34" s="21"/>
      <c r="E34" s="21"/>
      <c r="F34" s="21"/>
      <c r="G34" s="21"/>
    </row>
  </sheetData>
  <mergeCells count="14">
    <mergeCell ref="B31:G31"/>
    <mergeCell ref="B32:G32"/>
    <mergeCell ref="B33:G33"/>
    <mergeCell ref="B34:G34"/>
    <mergeCell ref="B26:G26"/>
    <mergeCell ref="B27:G27"/>
    <mergeCell ref="B28:G28"/>
    <mergeCell ref="B29:G29"/>
    <mergeCell ref="B30:G30"/>
    <mergeCell ref="A1:G1"/>
    <mergeCell ref="A2:G2"/>
    <mergeCell ref="B23:G23"/>
    <mergeCell ref="B24:G24"/>
    <mergeCell ref="B25:G25"/>
  </mergeCells>
  <hyperlinks>
    <hyperlink ref="G5" r:id="rId1" display="Amazon (kit 3 pz)" xr:uid="{00000000-0004-0000-0000-000000000000}"/>
    <hyperlink ref="G6" r:id="rId2" display="Amazon" xr:uid="{00000000-0004-0000-0000-000001000000}"/>
    <hyperlink ref="G7" r:id="rId3" xr:uid="{00000000-0004-0000-0000-000002000000}"/>
    <hyperlink ref="G9" r:id="rId4" display="Amazon (5 pz)" xr:uid="{00000000-0004-0000-0000-000004000000}"/>
    <hyperlink ref="G10" r:id="rId5" xr:uid="{00000000-0004-0000-0000-000005000000}"/>
    <hyperlink ref="G11" r:id="rId6" xr:uid="{00000000-0004-0000-0000-000006000000}"/>
    <hyperlink ref="G12" r:id="rId7" xr:uid="{00000000-0004-0000-0000-000007000000}"/>
    <hyperlink ref="G13" r:id="rId8" xr:uid="{00000000-0004-0000-0000-000008000000}"/>
    <hyperlink ref="G14" r:id="rId9" xr:uid="{00000000-0004-0000-0000-000009000000}"/>
    <hyperlink ref="G15" r:id="rId10" xr:uid="{00000000-0004-0000-0000-00000A000000}"/>
    <hyperlink ref="G16" r:id="rId11" xr:uid="{00000000-0004-0000-0000-00000B000000}"/>
    <hyperlink ref="G18" r:id="rId12" xr:uid="{00000000-0004-0000-0000-00000E000000}"/>
    <hyperlink ref="G19" r:id="rId13" xr:uid="{00000000-0004-0000-0000-00000F000000}"/>
    <hyperlink ref="G17" r:id="rId14" display="Amazon (kit 2 pz)" xr:uid="{00000000-0004-0000-0000-00000D000000}"/>
    <hyperlink ref="G8" r:id="rId15" display="Aliexpress" xr:uid="{00000000-0004-0000-00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zoomScaleNormal="100" workbookViewId="0">
      <pane ySplit="4" topLeftCell="A5" activePane="bottomLeft" state="frozen"/>
      <selection pane="bottomLeft" sqref="A1:F1"/>
    </sheetView>
  </sheetViews>
  <sheetFormatPr defaultColWidth="8.6640625" defaultRowHeight="14.4" x14ac:dyDescent="0.3"/>
  <cols>
    <col min="1" max="1" width="4" customWidth="1"/>
    <col min="2" max="2" width="42" customWidth="1"/>
    <col min="3" max="3" width="38" customWidth="1"/>
    <col min="4" max="4" width="8" customWidth="1"/>
    <col min="5" max="5" width="14" customWidth="1"/>
    <col min="6" max="6" width="24" customWidth="1"/>
  </cols>
  <sheetData>
    <row r="1" spans="1:6" ht="17.399999999999999" x14ac:dyDescent="0.3">
      <c r="A1" s="20" t="s">
        <v>60</v>
      </c>
      <c r="B1" s="20"/>
      <c r="C1" s="20"/>
      <c r="D1" s="20"/>
      <c r="E1" s="20"/>
      <c r="F1" s="20"/>
    </row>
    <row r="2" spans="1:6" x14ac:dyDescent="0.3">
      <c r="A2" s="21" t="s">
        <v>61</v>
      </c>
      <c r="B2" s="21"/>
      <c r="C2" s="21"/>
      <c r="D2" s="21"/>
      <c r="E2" s="21"/>
      <c r="F2" s="21"/>
    </row>
    <row r="4" spans="1:6" x14ac:dyDescent="0.3">
      <c r="A4" s="12" t="s">
        <v>2</v>
      </c>
      <c r="B4" s="12" t="s">
        <v>62</v>
      </c>
      <c r="C4" s="12" t="s">
        <v>63</v>
      </c>
      <c r="D4" s="12" t="s">
        <v>5</v>
      </c>
      <c r="E4" s="12" t="s">
        <v>64</v>
      </c>
      <c r="F4" s="12" t="s">
        <v>8</v>
      </c>
    </row>
    <row r="5" spans="1:6" x14ac:dyDescent="0.3">
      <c r="A5">
        <v>1</v>
      </c>
      <c r="B5" t="s">
        <v>65</v>
      </c>
      <c r="C5" t="s">
        <v>66</v>
      </c>
      <c r="D5" s="5">
        <v>1</v>
      </c>
      <c r="E5" s="6">
        <v>250</v>
      </c>
      <c r="F5" s="8" t="s">
        <v>13</v>
      </c>
    </row>
    <row r="6" spans="1:6" x14ac:dyDescent="0.3">
      <c r="A6">
        <v>2</v>
      </c>
      <c r="B6" t="s">
        <v>67</v>
      </c>
      <c r="C6" t="s">
        <v>68</v>
      </c>
      <c r="D6" s="5">
        <v>1</v>
      </c>
      <c r="E6" s="6">
        <v>60</v>
      </c>
      <c r="F6" s="8" t="s">
        <v>69</v>
      </c>
    </row>
    <row r="7" spans="1:6" x14ac:dyDescent="0.3">
      <c r="A7">
        <v>3</v>
      </c>
      <c r="B7" t="s">
        <v>70</v>
      </c>
      <c r="C7" t="s">
        <v>71</v>
      </c>
      <c r="D7" s="5">
        <v>3</v>
      </c>
      <c r="E7" s="6">
        <v>150</v>
      </c>
      <c r="F7" s="8" t="s">
        <v>13</v>
      </c>
    </row>
    <row r="8" spans="1:6" x14ac:dyDescent="0.3">
      <c r="A8">
        <v>4</v>
      </c>
      <c r="B8" t="s">
        <v>72</v>
      </c>
      <c r="C8" t="s">
        <v>73</v>
      </c>
      <c r="D8" s="5">
        <v>1</v>
      </c>
      <c r="E8" s="6">
        <v>90</v>
      </c>
      <c r="F8" s="8" t="s">
        <v>13</v>
      </c>
    </row>
    <row r="9" spans="1:6" x14ac:dyDescent="0.3">
      <c r="A9">
        <v>5</v>
      </c>
      <c r="B9" t="s">
        <v>74</v>
      </c>
      <c r="C9" t="s">
        <v>75</v>
      </c>
      <c r="D9" s="5">
        <v>1</v>
      </c>
      <c r="E9" s="6">
        <v>60</v>
      </c>
      <c r="F9" s="8" t="s">
        <v>13</v>
      </c>
    </row>
    <row r="10" spans="1:6" x14ac:dyDescent="0.3">
      <c r="A10">
        <v>6</v>
      </c>
      <c r="B10" t="s">
        <v>76</v>
      </c>
      <c r="C10" t="s">
        <v>77</v>
      </c>
      <c r="D10" s="5">
        <v>1</v>
      </c>
      <c r="E10" s="6">
        <v>40</v>
      </c>
      <c r="F10" s="8" t="s">
        <v>13</v>
      </c>
    </row>
    <row r="11" spans="1:6" x14ac:dyDescent="0.3">
      <c r="A11">
        <v>7</v>
      </c>
      <c r="B11" t="s">
        <v>78</v>
      </c>
      <c r="C11" t="s">
        <v>79</v>
      </c>
      <c r="D11" s="5">
        <v>3</v>
      </c>
      <c r="E11" s="6">
        <v>25</v>
      </c>
      <c r="F11" s="8" t="s">
        <v>80</v>
      </c>
    </row>
    <row r="12" spans="1:6" x14ac:dyDescent="0.3">
      <c r="B12" s="9" t="s">
        <v>81</v>
      </c>
      <c r="E12" s="10">
        <f>SUMPRODUCT(D5:D11,E5:E11)</f>
        <v>1025</v>
      </c>
    </row>
    <row r="14" spans="1:6" x14ac:dyDescent="0.3">
      <c r="A14" s="11" t="s">
        <v>47</v>
      </c>
    </row>
    <row r="15" spans="1:6" x14ac:dyDescent="0.3">
      <c r="B15" s="21" t="s">
        <v>82</v>
      </c>
      <c r="C15" s="21"/>
      <c r="D15" s="21"/>
      <c r="E15" s="21"/>
      <c r="F15" s="21"/>
    </row>
    <row r="16" spans="1:6" x14ac:dyDescent="0.3">
      <c r="B16" s="21" t="s">
        <v>83</v>
      </c>
      <c r="C16" s="21"/>
      <c r="D16" s="21"/>
      <c r="E16" s="21"/>
      <c r="F16" s="21"/>
    </row>
    <row r="17" spans="2:6" x14ac:dyDescent="0.3">
      <c r="B17" s="21" t="s">
        <v>84</v>
      </c>
      <c r="C17" s="21"/>
      <c r="D17" s="21"/>
      <c r="E17" s="21"/>
      <c r="F17" s="21"/>
    </row>
    <row r="18" spans="2:6" x14ac:dyDescent="0.3">
      <c r="B18" s="21" t="s">
        <v>85</v>
      </c>
      <c r="C18" s="21"/>
      <c r="D18" s="21"/>
      <c r="E18" s="21"/>
      <c r="F18" s="21"/>
    </row>
    <row r="19" spans="2:6" x14ac:dyDescent="0.3">
      <c r="B19" s="21" t="s">
        <v>86</v>
      </c>
      <c r="C19" s="21"/>
      <c r="D19" s="21"/>
      <c r="E19" s="21"/>
      <c r="F19" s="21"/>
    </row>
  </sheetData>
  <mergeCells count="7">
    <mergeCell ref="B18:F18"/>
    <mergeCell ref="B19:F19"/>
    <mergeCell ref="A1:F1"/>
    <mergeCell ref="A2:F2"/>
    <mergeCell ref="B15:F15"/>
    <mergeCell ref="B16:F16"/>
    <mergeCell ref="B17:F17"/>
  </mergeCells>
  <hyperlinks>
    <hyperlink ref="F5" r:id="rId1" xr:uid="{00000000-0004-0000-0100-000000000000}"/>
    <hyperlink ref="F6" r:id="rId2" xr:uid="{00000000-0004-0000-0100-000001000000}"/>
    <hyperlink ref="F7" r:id="rId3" xr:uid="{00000000-0004-0000-0100-000002000000}"/>
    <hyperlink ref="F8" r:id="rId4" xr:uid="{00000000-0004-0000-0100-000003000000}"/>
    <hyperlink ref="F9" r:id="rId5" xr:uid="{00000000-0004-0000-0100-000004000000}"/>
    <hyperlink ref="F10" r:id="rId6" xr:uid="{00000000-0004-0000-0100-000005000000}"/>
    <hyperlink ref="F11" r:id="rId7" xr:uid="{00000000-0004-0000-01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zoomScaleNormal="100" workbookViewId="0">
      <selection sqref="A1:D1"/>
    </sheetView>
  </sheetViews>
  <sheetFormatPr defaultColWidth="8.6640625" defaultRowHeight="14.4" x14ac:dyDescent="0.3"/>
  <cols>
    <col min="1" max="1" width="46" customWidth="1"/>
    <col min="2" max="2" width="18" customWidth="1"/>
    <col min="3" max="4" width="4" customWidth="1"/>
  </cols>
  <sheetData>
    <row r="1" spans="1:4" ht="17.399999999999999" x14ac:dyDescent="0.3">
      <c r="A1" s="20" t="s">
        <v>87</v>
      </c>
      <c r="B1" s="20"/>
      <c r="C1" s="20"/>
      <c r="D1" s="20"/>
    </row>
    <row r="3" spans="1:4" x14ac:dyDescent="0.3">
      <c r="A3" s="11" t="s">
        <v>88</v>
      </c>
    </row>
    <row r="4" spans="1:4" x14ac:dyDescent="0.3">
      <c r="A4" t="s">
        <v>89</v>
      </c>
      <c r="B4" s="13">
        <v>50</v>
      </c>
    </row>
    <row r="5" spans="1:4" x14ac:dyDescent="0.3">
      <c r="A5" t="s">
        <v>90</v>
      </c>
      <c r="B5" s="14">
        <f>'BOM colonnina'!F20</f>
        <v>150.18</v>
      </c>
    </row>
    <row r="6" spans="1:4" x14ac:dyDescent="0.3">
      <c r="A6" t="s">
        <v>91</v>
      </c>
      <c r="B6" s="14">
        <f>'Infrastruttura molo'!E12</f>
        <v>1025</v>
      </c>
    </row>
    <row r="7" spans="1:4" x14ac:dyDescent="0.3">
      <c r="A7" t="s">
        <v>92</v>
      </c>
      <c r="B7" s="15">
        <v>21000</v>
      </c>
    </row>
    <row r="8" spans="1:4" x14ac:dyDescent="0.3">
      <c r="A8" t="s">
        <v>93</v>
      </c>
      <c r="B8" s="15">
        <v>500</v>
      </c>
    </row>
    <row r="10" spans="1:4" x14ac:dyDescent="0.3">
      <c r="A10" s="11" t="s">
        <v>94</v>
      </c>
    </row>
    <row r="11" spans="1:4" x14ac:dyDescent="0.3">
      <c r="A11" t="s">
        <v>95</v>
      </c>
      <c r="B11" s="14">
        <f>B4*B5</f>
        <v>7509</v>
      </c>
    </row>
    <row r="12" spans="1:4" x14ac:dyDescent="0.3">
      <c r="A12" t="s">
        <v>96</v>
      </c>
      <c r="B12" s="14">
        <f>B6</f>
        <v>1025</v>
      </c>
    </row>
    <row r="13" spans="1:4" x14ac:dyDescent="0.3">
      <c r="A13" t="s">
        <v>97</v>
      </c>
      <c r="B13" s="14">
        <f>B7</f>
        <v>21000</v>
      </c>
    </row>
    <row r="14" spans="1:4" x14ac:dyDescent="0.3">
      <c r="A14" t="s">
        <v>98</v>
      </c>
      <c r="B14" s="14">
        <f>B8</f>
        <v>500</v>
      </c>
    </row>
    <row r="15" spans="1:4" x14ac:dyDescent="0.3">
      <c r="A15" s="9" t="s">
        <v>99</v>
      </c>
      <c r="B15" s="10">
        <f>SUM(B11:B14)</f>
        <v>30034</v>
      </c>
    </row>
    <row r="17" spans="1:2" x14ac:dyDescent="0.3">
      <c r="A17" s="11" t="s">
        <v>100</v>
      </c>
    </row>
    <row r="18" spans="1:2" x14ac:dyDescent="0.3">
      <c r="A18" t="s">
        <v>101</v>
      </c>
      <c r="B18" s="6">
        <v>13</v>
      </c>
    </row>
    <row r="19" spans="1:2" x14ac:dyDescent="0.3">
      <c r="A19" t="s">
        <v>102</v>
      </c>
      <c r="B19" s="6">
        <v>4</v>
      </c>
    </row>
    <row r="20" spans="1:2" x14ac:dyDescent="0.3">
      <c r="A20" t="s">
        <v>103</v>
      </c>
      <c r="B20" s="6">
        <v>5</v>
      </c>
    </row>
    <row r="21" spans="1:2" x14ac:dyDescent="0.3">
      <c r="A21" t="s">
        <v>104</v>
      </c>
      <c r="B21" s="6">
        <v>50</v>
      </c>
    </row>
    <row r="22" spans="1:2" x14ac:dyDescent="0.3">
      <c r="A22" s="9" t="s">
        <v>105</v>
      </c>
      <c r="B22" s="10">
        <f>SUM(B18:B21)</f>
        <v>72</v>
      </c>
    </row>
    <row r="23" spans="1:2" x14ac:dyDescent="0.3">
      <c r="A23" s="1" t="s">
        <v>106</v>
      </c>
    </row>
    <row r="26" spans="1:2" x14ac:dyDescent="0.3">
      <c r="A26" s="11" t="s">
        <v>107</v>
      </c>
    </row>
    <row r="27" spans="1:2" x14ac:dyDescent="0.3">
      <c r="A27" t="s">
        <v>108</v>
      </c>
      <c r="B27" s="13">
        <v>30</v>
      </c>
    </row>
    <row r="28" spans="1:2" x14ac:dyDescent="0.3">
      <c r="A28" t="s">
        <v>109</v>
      </c>
      <c r="B28" s="13">
        <v>2</v>
      </c>
    </row>
    <row r="29" spans="1:2" x14ac:dyDescent="0.3">
      <c r="A29" t="s">
        <v>110</v>
      </c>
      <c r="B29" s="15">
        <v>0.55000000000000004</v>
      </c>
    </row>
    <row r="30" spans="1:2" x14ac:dyDescent="0.3">
      <c r="A30" t="s">
        <v>111</v>
      </c>
      <c r="B30" s="15">
        <v>0.3</v>
      </c>
    </row>
    <row r="32" spans="1:2" x14ac:dyDescent="0.3">
      <c r="A32" t="s">
        <v>112</v>
      </c>
      <c r="B32" s="16">
        <f>B4*B28*B27</f>
        <v>3000</v>
      </c>
    </row>
    <row r="33" spans="1:2" x14ac:dyDescent="0.3">
      <c r="A33" t="s">
        <v>113</v>
      </c>
      <c r="B33" s="14">
        <f>B32*B29</f>
        <v>1650.0000000000002</v>
      </c>
    </row>
    <row r="34" spans="1:2" x14ac:dyDescent="0.3">
      <c r="A34" t="s">
        <v>114</v>
      </c>
      <c r="B34" s="14">
        <f>B32*B30</f>
        <v>900</v>
      </c>
    </row>
    <row r="35" spans="1:2" x14ac:dyDescent="0.3">
      <c r="A35" t="s">
        <v>115</v>
      </c>
      <c r="B35" s="14">
        <f>B33-B34</f>
        <v>750.00000000000023</v>
      </c>
    </row>
    <row r="36" spans="1:2" x14ac:dyDescent="0.3">
      <c r="A36" t="s">
        <v>116</v>
      </c>
      <c r="B36" s="14">
        <f>B22</f>
        <v>72</v>
      </c>
    </row>
    <row r="37" spans="1:2" x14ac:dyDescent="0.3">
      <c r="A37" s="9" t="s">
        <v>117</v>
      </c>
      <c r="B37" s="10">
        <f>B35-B36</f>
        <v>678.00000000000023</v>
      </c>
    </row>
    <row r="38" spans="1:2" x14ac:dyDescent="0.3">
      <c r="A38" t="s">
        <v>118</v>
      </c>
      <c r="B38" s="14">
        <f>B37*12</f>
        <v>8136.0000000000027</v>
      </c>
    </row>
    <row r="40" spans="1:2" x14ac:dyDescent="0.3">
      <c r="A40" s="11" t="s">
        <v>119</v>
      </c>
      <c r="B40" s="17">
        <f>IFERROR((B11+B12+B14)/B37,"-")</f>
        <v>13.324483775811204</v>
      </c>
    </row>
    <row r="41" spans="1:2" x14ac:dyDescent="0.3">
      <c r="A41" s="11" t="s">
        <v>120</v>
      </c>
      <c r="B41" s="17">
        <f>IFERROR(B15/B37,"-")</f>
        <v>44.297935103244825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100" workbookViewId="0">
      <pane ySplit="3" topLeftCell="A4" activePane="bottomLeft" state="frozen"/>
      <selection pane="bottomLeft" sqref="A1:F1"/>
    </sheetView>
  </sheetViews>
  <sheetFormatPr defaultColWidth="8.6640625" defaultRowHeight="14.4" x14ac:dyDescent="0.3"/>
  <cols>
    <col min="1" max="1" width="16" customWidth="1"/>
    <col min="2" max="4" width="22" customWidth="1"/>
    <col min="5" max="5" width="20" customWidth="1"/>
    <col min="6" max="6" width="24" customWidth="1"/>
  </cols>
  <sheetData>
    <row r="1" spans="1:6" ht="17.399999999999999" x14ac:dyDescent="0.3">
      <c r="A1" s="20" t="s">
        <v>121</v>
      </c>
      <c r="B1" s="20"/>
      <c r="C1" s="20"/>
      <c r="D1" s="20"/>
      <c r="E1" s="20"/>
      <c r="F1" s="20"/>
    </row>
    <row r="3" spans="1:6" x14ac:dyDescent="0.3">
      <c r="A3" s="12" t="s">
        <v>122</v>
      </c>
      <c r="B3" s="12" t="s">
        <v>123</v>
      </c>
      <c r="C3" s="12" t="s">
        <v>124</v>
      </c>
      <c r="D3" s="12" t="s">
        <v>125</v>
      </c>
      <c r="E3" s="12" t="s">
        <v>126</v>
      </c>
      <c r="F3" s="12" t="s">
        <v>127</v>
      </c>
    </row>
    <row r="4" spans="1:6" x14ac:dyDescent="0.3">
      <c r="A4" s="5">
        <v>20</v>
      </c>
      <c r="B4" s="14">
        <f>A4*'BOM colonnina'!F20+'Infrastruttura molo'!E12+'Riepilogo budget'!B8</f>
        <v>4528.6000000000004</v>
      </c>
      <c r="C4" s="14">
        <f>B4+'Riepilogo budget'!B7</f>
        <v>25528.6</v>
      </c>
      <c r="D4" s="14">
        <f>A4*'Riepilogo budget'!B28*'Riepilogo budget'!B27*'Riepilogo budget'!B29</f>
        <v>660</v>
      </c>
      <c r="E4" s="14">
        <f>A4*'Riepilogo budget'!B28*'Riepilogo budget'!B27*('Riepilogo budget'!B29-'Riepilogo budget'!B30)-'Riepilogo budget'!B22</f>
        <v>228.00000000000006</v>
      </c>
      <c r="F4" s="17">
        <f>IFERROR(C4/E4,"-")</f>
        <v>111.96754385964908</v>
      </c>
    </row>
    <row r="5" spans="1:6" x14ac:dyDescent="0.3">
      <c r="A5" s="5">
        <v>30</v>
      </c>
      <c r="B5" s="14">
        <f>A5*'BOM colonnina'!F20+'Infrastruttura molo'!E12+'Riepilogo budget'!B8</f>
        <v>6030.4000000000005</v>
      </c>
      <c r="C5" s="14">
        <f>B5+'Riepilogo budget'!B7</f>
        <v>27030.400000000001</v>
      </c>
      <c r="D5" s="14">
        <f>A5*'Riepilogo budget'!B28*'Riepilogo budget'!B27*'Riepilogo budget'!B29</f>
        <v>990.00000000000011</v>
      </c>
      <c r="E5" s="14">
        <f>A5*'Riepilogo budget'!B28*'Riepilogo budget'!B27*('Riepilogo budget'!B29-'Riepilogo budget'!B30)-'Riepilogo budget'!B22</f>
        <v>378.00000000000011</v>
      </c>
      <c r="F5" s="17">
        <f>IFERROR(C5/E5,"-")</f>
        <v>71.508994708994692</v>
      </c>
    </row>
    <row r="6" spans="1:6" x14ac:dyDescent="0.3">
      <c r="A6" s="5">
        <v>50</v>
      </c>
      <c r="B6" s="14">
        <f>A6*'BOM colonnina'!F20+'Infrastruttura molo'!E12+'Riepilogo budget'!B8</f>
        <v>9034</v>
      </c>
      <c r="C6" s="14">
        <f>B6+'Riepilogo budget'!B7</f>
        <v>30034</v>
      </c>
      <c r="D6" s="14">
        <f>A6*'Riepilogo budget'!B28*'Riepilogo budget'!B27*'Riepilogo budget'!B29</f>
        <v>1650.0000000000002</v>
      </c>
      <c r="E6" s="14">
        <f>A6*'Riepilogo budget'!B28*'Riepilogo budget'!B27*('Riepilogo budget'!B29-'Riepilogo budget'!B30)-'Riepilogo budget'!B22</f>
        <v>678.00000000000011</v>
      </c>
      <c r="F6" s="17">
        <f>IFERROR(C6/E6,"-")</f>
        <v>44.297935103244832</v>
      </c>
    </row>
    <row r="7" spans="1:6" x14ac:dyDescent="0.3">
      <c r="A7" s="5">
        <v>80</v>
      </c>
      <c r="B7" s="14">
        <f>A7*'BOM colonnina'!F20+'Infrastruttura molo'!E12+'Riepilogo budget'!B8</f>
        <v>13539.400000000001</v>
      </c>
      <c r="C7" s="14">
        <f>B7+'Riepilogo budget'!B7</f>
        <v>34539.4</v>
      </c>
      <c r="D7" s="14">
        <f>A7*'Riepilogo budget'!B28*'Riepilogo budget'!B27*'Riepilogo budget'!B29</f>
        <v>2640</v>
      </c>
      <c r="E7" s="14">
        <f>A7*'Riepilogo budget'!B28*'Riepilogo budget'!B27*('Riepilogo budget'!B29-'Riepilogo budget'!B30)-'Riepilogo budget'!B22</f>
        <v>1128.0000000000002</v>
      </c>
      <c r="F7" s="17">
        <f>IFERROR(C7/E7,"-")</f>
        <v>30.620035460992902</v>
      </c>
    </row>
    <row r="8" spans="1:6" x14ac:dyDescent="0.3">
      <c r="A8" s="5">
        <v>100</v>
      </c>
      <c r="B8" s="14">
        <f>A8*'BOM colonnina'!F20+'Infrastruttura molo'!E12+'Riepilogo budget'!B8</f>
        <v>16543</v>
      </c>
      <c r="C8" s="14">
        <f>B8+'Riepilogo budget'!B7</f>
        <v>37543</v>
      </c>
      <c r="D8" s="14">
        <f>A8*'Riepilogo budget'!B28*'Riepilogo budget'!B27*'Riepilogo budget'!B29</f>
        <v>3300.0000000000005</v>
      </c>
      <c r="E8" s="14">
        <f>A8*'Riepilogo budget'!B28*'Riepilogo budget'!B27*('Riepilogo budget'!B29-'Riepilogo budget'!B30)-'Riepilogo budget'!B22</f>
        <v>1428.0000000000002</v>
      </c>
      <c r="F8" s="17">
        <f>IFERROR(C8/E8,"-")</f>
        <v>26.290616246498594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3"/>
  <sheetViews>
    <sheetView zoomScaleNormal="100" workbookViewId="0"/>
  </sheetViews>
  <sheetFormatPr defaultColWidth="8.6640625" defaultRowHeight="14.4" x14ac:dyDescent="0.3"/>
  <cols>
    <col min="1" max="1" width="130" customWidth="1"/>
  </cols>
  <sheetData>
    <row r="1" spans="1:1" ht="17.399999999999999" x14ac:dyDescent="0.3">
      <c r="A1" s="2" t="s">
        <v>128</v>
      </c>
    </row>
    <row r="3" spans="1:1" x14ac:dyDescent="0.3">
      <c r="A3" s="4" t="s">
        <v>129</v>
      </c>
    </row>
    <row r="4" spans="1:1" x14ac:dyDescent="0.3">
      <c r="A4" s="4" t="s">
        <v>130</v>
      </c>
    </row>
    <row r="5" spans="1:1" x14ac:dyDescent="0.3">
      <c r="A5" s="4" t="s">
        <v>131</v>
      </c>
    </row>
    <row r="6" spans="1:1" x14ac:dyDescent="0.3">
      <c r="A6" s="4" t="s">
        <v>132</v>
      </c>
    </row>
    <row r="7" spans="1:1" x14ac:dyDescent="0.3">
      <c r="A7" s="4"/>
    </row>
    <row r="8" spans="1:1" x14ac:dyDescent="0.3">
      <c r="A8" s="4" t="s">
        <v>133</v>
      </c>
    </row>
    <row r="9" spans="1:1" x14ac:dyDescent="0.3">
      <c r="A9" s="4" t="s">
        <v>134</v>
      </c>
    </row>
    <row r="10" spans="1:1" x14ac:dyDescent="0.3">
      <c r="A10" s="4" t="s">
        <v>135</v>
      </c>
    </row>
    <row r="11" spans="1:1" x14ac:dyDescent="0.3">
      <c r="A11" s="4" t="s">
        <v>136</v>
      </c>
    </row>
    <row r="12" spans="1:1" x14ac:dyDescent="0.3">
      <c r="A12" s="4" t="s">
        <v>137</v>
      </c>
    </row>
    <row r="13" spans="1:1" x14ac:dyDescent="0.3">
      <c r="A13" s="4"/>
    </row>
    <row r="14" spans="1:1" x14ac:dyDescent="0.3">
      <c r="A14" s="4" t="s">
        <v>138</v>
      </c>
    </row>
    <row r="15" spans="1:1" x14ac:dyDescent="0.3">
      <c r="A15" s="4" t="s">
        <v>139</v>
      </c>
    </row>
    <row r="16" spans="1:1" x14ac:dyDescent="0.3">
      <c r="A16" s="4" t="s">
        <v>140</v>
      </c>
    </row>
    <row r="17" spans="1:1" x14ac:dyDescent="0.3">
      <c r="A17" s="4" t="s">
        <v>141</v>
      </c>
    </row>
    <row r="18" spans="1:1" x14ac:dyDescent="0.3">
      <c r="A18" s="4"/>
    </row>
    <row r="19" spans="1:1" x14ac:dyDescent="0.3">
      <c r="A19" s="4" t="s">
        <v>142</v>
      </c>
    </row>
    <row r="20" spans="1:1" x14ac:dyDescent="0.3">
      <c r="A20" s="4" t="s">
        <v>143</v>
      </c>
    </row>
    <row r="21" spans="1:1" x14ac:dyDescent="0.3">
      <c r="A21" s="4" t="s">
        <v>144</v>
      </c>
    </row>
    <row r="22" spans="1:1" x14ac:dyDescent="0.3">
      <c r="A22" s="4" t="s">
        <v>145</v>
      </c>
    </row>
    <row r="23" spans="1:1" x14ac:dyDescent="0.3">
      <c r="A23" s="4" t="s">
        <v>146</v>
      </c>
    </row>
    <row r="24" spans="1:1" x14ac:dyDescent="0.3">
      <c r="A24" s="4" t="s">
        <v>147</v>
      </c>
    </row>
    <row r="25" spans="1:1" x14ac:dyDescent="0.3">
      <c r="A25" s="4"/>
    </row>
    <row r="26" spans="1:1" x14ac:dyDescent="0.3">
      <c r="A26" s="4" t="s">
        <v>148</v>
      </c>
    </row>
    <row r="27" spans="1:1" x14ac:dyDescent="0.3">
      <c r="A27" s="4" t="s">
        <v>149</v>
      </c>
    </row>
    <row r="28" spans="1:1" x14ac:dyDescent="0.3">
      <c r="A28" s="4" t="s">
        <v>150</v>
      </c>
    </row>
    <row r="29" spans="1:1" x14ac:dyDescent="0.3">
      <c r="A29" s="4" t="s">
        <v>151</v>
      </c>
    </row>
    <row r="30" spans="1:1" x14ac:dyDescent="0.3">
      <c r="A30" s="4" t="s">
        <v>152</v>
      </c>
    </row>
    <row r="31" spans="1:1" x14ac:dyDescent="0.3">
      <c r="A31" s="4"/>
    </row>
    <row r="32" spans="1:1" x14ac:dyDescent="0.3">
      <c r="A32" s="4" t="s">
        <v>153</v>
      </c>
    </row>
    <row r="33" spans="1:1" x14ac:dyDescent="0.3">
      <c r="A33" s="4" t="s">
        <v>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BOM colonnina</vt:lpstr>
      <vt:lpstr>Infrastruttura molo</vt:lpstr>
      <vt:lpstr>Riepilogo budget</vt:lpstr>
      <vt:lpstr>Sensitivity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giuseppe genovese</cp:lastModifiedBy>
  <cp:revision>0</cp:revision>
  <dcterms:created xsi:type="dcterms:W3CDTF">2026-05-17T10:52:05Z</dcterms:created>
  <dcterms:modified xsi:type="dcterms:W3CDTF">2026-05-19T21:02:33Z</dcterms:modified>
  <dc:language>en-US</dc:language>
</cp:coreProperties>
</file>